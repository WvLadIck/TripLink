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vLad1ck\Desktop\"/>
    </mc:Choice>
  </mc:AlternateContent>
  <xr:revisionPtr revIDLastSave="0" documentId="13_ncr:1_{942802A1-290B-4522-A25F-1AC81C3CF8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ест-кейс 1" sheetId="3" r:id="rId1"/>
  </sheets>
  <calcPr calcId="181029"/>
  <extLst>
    <ext uri="GoogleSheetsCustomDataVersion1">
      <go:sheetsCustomData xmlns:go="http://customooxmlschemas.google.com/" r:id="rId9" roundtripDataSignature="AMtx7mjA8JlpfF/vIsy1mceRgGEgNbDJ1A=="/>
    </ext>
  </extLst>
</workbook>
</file>

<file path=xl/calcChain.xml><?xml version="1.0" encoding="utf-8"?>
<calcChain xmlns="http://schemas.openxmlformats.org/spreadsheetml/2006/main">
  <c r="A13" i="3" l="1"/>
  <c r="A14" i="3" s="1"/>
  <c r="A10" i="3" s="1"/>
  <c r="F10" i="3"/>
  <c r="E10" i="3"/>
  <c r="D10" i="3"/>
  <c r="G1" i="3"/>
  <c r="H10" i="3" l="1"/>
</calcChain>
</file>

<file path=xl/sharedStrings.xml><?xml version="1.0" encoding="utf-8"?>
<sst xmlns="http://schemas.openxmlformats.org/spreadsheetml/2006/main" count="91" uniqueCount="65">
  <si>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</si>
  <si>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</si>
  <si>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</si>
  <si>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</si>
  <si>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</si>
  <si>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</si>
  <si>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</si>
  <si>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</si>
  <si>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</si>
  <si>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</si>
  <si>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</si>
  <si>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</si>
  <si>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</si>
  <si>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</si>
  <si>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</si>
  <si>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</si>
  <si>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</si>
  <si>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</si>
  <si>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</si>
  <si>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</si>
  <si>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</si>
  <si>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</si>
  <si>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x</t>
  </si>
  <si>
    <t>Протестирован. Ошибок нет</t>
  </si>
  <si>
    <t>Запустить приложение TripLink.exe</t>
  </si>
  <si>
    <t>Выбрать в меню "Вход"</t>
  </si>
  <si>
    <t>Открылось окно "Вход/Регистрация"</t>
  </si>
  <si>
    <t>Открылось окно "Вход" с полями "Логин" и "Пароль"</t>
  </si>
  <si>
    <t>Логин отображается в поле</t>
  </si>
  <si>
    <t>Пароль отображается в поле</t>
  </si>
  <si>
    <t>Происходит авторизация пользователя, открывается главное меню приложения</t>
  </si>
  <si>
    <t>Происходит авторизация пользователя, открывается главное меню 
приложения</t>
  </si>
  <si>
    <t>Категория:</t>
  </si>
  <si>
    <t>Допустимые значения:</t>
  </si>
  <si>
    <t>длина</t>
  </si>
  <si>
    <t>строчные буквы</t>
  </si>
  <si>
    <t>прописные буквы</t>
  </si>
  <si>
    <t>0-9</t>
  </si>
  <si>
    <t>специальные символы</t>
  </si>
  <si>
    <t>пробел</t>
  </si>
  <si>
    <t>отдельный символ</t>
  </si>
  <si>
    <t>Нажать кнопку "Далее" - 》</t>
  </si>
  <si>
    <t>Пользователь должен быть зарегистрирован в системе, тестовые базы данных</t>
  </si>
  <si>
    <t>Ввести пароль в соостветствии со списком
допустимых значений в поле "Пароль"</t>
  </si>
  <si>
    <t>handleTrip. Создание поездки</t>
  </si>
  <si>
    <t>Усанов Владислав Николаевич</t>
  </si>
  <si>
    <t>В главном меню приложения выбрать "Водитель"</t>
  </si>
  <si>
    <t>Открывается другое окно с вводом данных о поездке от лица водителя</t>
  </si>
  <si>
    <t>Происходит создание поездки, после чего она становится доступна всем пользователям приложения</t>
  </si>
  <si>
    <t>Ввести логин в поле "Логин"</t>
  </si>
  <si>
    <t>В поле "Куда едете" ввести информацию о пункте прибытия</t>
  </si>
  <si>
    <t>В поле "Откуда едете" ввести информацию о месте отправления</t>
  </si>
  <si>
    <t>В поле "Дата и время поездки" ввести информацию о дате и времени поездки</t>
  </si>
  <si>
    <t>Пункт прибытия отображается в поле</t>
  </si>
  <si>
    <t>Место отправления отображается в поле</t>
  </si>
  <si>
    <t>Дата и время поездки отображаются в поле</t>
  </si>
  <si>
    <t>Список допустимых значений для поля "Куда едете" и "Откуда едете":</t>
  </si>
  <si>
    <t>не пустое поле</t>
  </si>
  <si>
    <t>а-я</t>
  </si>
  <si>
    <t>А-Я</t>
  </si>
  <si>
    <t>-</t>
  </si>
  <si>
    <t>Список допустимых значений для поля "Дата и время":</t>
  </si>
  <si>
    <t>Цифры</t>
  </si>
  <si>
    <t>.:</t>
  </si>
  <si>
    <t>Тест-кейс для проверки возможности функции создания поездки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</si>
</sst>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0" x14ac:knownFonts="1">
    <font>
      <sz val="11"/>
      <color rgb="FF000000"/>
      <name val="Calibri"/>
    </font>
    <font>
      <sz val="11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u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0" fillId="0" borderId="0" xfId="0" applyFont="1"/>
    <xf numFmtId="0" fontId="2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right"/>
    </xf>
    <xf numFmtId="0" fontId="2" fillId="0" borderId="9" xfId="0" applyFont="1" applyBorder="1" applyAlignment="1">
      <alignment horizontal="left" vertical="top" wrapText="1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2" borderId="13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wrapText="1"/>
    </xf>
    <xf numFmtId="0" fontId="2" fillId="2" borderId="16" xfId="0" applyFont="1" applyFill="1" applyBorder="1"/>
    <xf numFmtId="0" fontId="2" fillId="0" borderId="19" xfId="0" applyFont="1" applyBorder="1" applyAlignment="1">
      <alignment wrapText="1"/>
    </xf>
    <xf numFmtId="0" fontId="3" fillId="2" borderId="7" xfId="0" applyFont="1" applyFill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164" fontId="2" fillId="0" borderId="12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20" xfId="0" applyFont="1" applyBorder="1"/>
    <xf numFmtId="0" fontId="3" fillId="0" borderId="20" xfId="0" applyFont="1" applyBorder="1" applyAlignment="1">
      <alignment horizontal="center"/>
    </xf>
    <xf numFmtId="0" fontId="0" fillId="0" borderId="20" xfId="0" applyFont="1" applyBorder="1"/>
    <xf numFmtId="0" fontId="2" fillId="0" borderId="0" xfId="0" applyFont="1" applyAlignment="1">
      <alignment horizontal="left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/>
    <xf numFmtId="0" fontId="3" fillId="2" borderId="23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textRotation="180"/>
    </xf>
    <xf numFmtId="0" fontId="3" fillId="2" borderId="23" xfId="0" applyFont="1" applyFill="1" applyBorder="1"/>
    <xf numFmtId="0" fontId="3" fillId="2" borderId="23" xfId="0" applyFont="1" applyFill="1" applyBorder="1" applyAlignment="1">
      <alignment horizontal="center" textRotation="180"/>
    </xf>
    <xf numFmtId="0" fontId="2" fillId="0" borderId="27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left" vertical="top" wrapText="1"/>
    </xf>
    <xf numFmtId="0" fontId="3" fillId="2" borderId="24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5" fillId="0" borderId="31" xfId="0" applyFont="1" applyBorder="1" applyAlignment="1"/>
    <xf numFmtId="0" fontId="6" fillId="0" borderId="3" xfId="0" applyFont="1" applyBorder="1" applyAlignment="1">
      <alignment horizontal="left" vertical="top" wrapText="1"/>
    </xf>
    <xf numFmtId="0" fontId="5" fillId="0" borderId="31" xfId="0" applyFont="1" applyBorder="1" applyAlignment="1">
      <alignment wrapText="1"/>
    </xf>
    <xf numFmtId="0" fontId="2" fillId="0" borderId="32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8" fillId="0" borderId="31" xfId="0" applyFont="1" applyBorder="1" applyAlignment="1"/>
    <xf numFmtId="0" fontId="7" fillId="0" borderId="3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31" xfId="0" applyFont="1" applyBorder="1" applyAlignment="1"/>
    <xf numFmtId="0" fontId="2" fillId="0" borderId="35" xfId="0" applyFont="1" applyBorder="1" applyAlignment="1">
      <alignment horizontal="left" vertical="top" wrapText="1"/>
    </xf>
    <xf numFmtId="9" fontId="3" fillId="2" borderId="25" xfId="0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0" fillId="0" borderId="0" xfId="0" applyFont="1" applyBorder="1"/>
    <xf numFmtId="0" fontId="8" fillId="0" borderId="31" xfId="0" applyFont="1" applyBorder="1" applyAlignment="1">
      <alignment wrapText="1"/>
    </xf>
    <xf numFmtId="0" fontId="5" fillId="0" borderId="31" xfId="0" applyFont="1" applyFill="1" applyBorder="1" applyAlignment="1">
      <alignment wrapText="1"/>
    </xf>
    <xf numFmtId="0" fontId="2" fillId="0" borderId="31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2" borderId="14" xfId="0" applyFont="1" applyFill="1" applyBorder="1" applyAlignment="1">
      <alignment horizontal="center"/>
    </xf>
    <xf numFmtId="0" fontId="1" fillId="0" borderId="17" xfId="0" applyFont="1" applyBorder="1"/>
    <xf numFmtId="0" fontId="3" fillId="2" borderId="15" xfId="0" applyFont="1" applyFill="1" applyBorder="1" applyAlignment="1">
      <alignment horizontal="right" vertical="top"/>
    </xf>
    <xf numFmtId="0" fontId="1" fillId="0" borderId="18" xfId="0" applyFont="1" applyBorder="1"/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/>
    <xf numFmtId="0" fontId="9" fillId="0" borderId="3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5"/>
  <sheetViews>
    <sheetView tabSelected="1" topLeftCell="A2" zoomScale="98" zoomScaleNormal="150" workbookViewId="0">
      <selection activeCell="K9" sqref="K9"/>
    </sheetView>
  </sheetViews>
  <sheetFormatPr defaultColWidth="14.44140625" defaultRowHeight="15" customHeight="1" x14ac:dyDescent="0.3"/>
  <cols>
    <col min="1" max="1" width="8.6640625" customWidth="1"/>
    <col min="2" max="2" width="32.44140625" customWidth="1"/>
    <col min="3" max="3" width="64.5546875" customWidth="1"/>
    <col min="4" max="6" width="8.6640625" customWidth="1"/>
    <col min="7" max="7" width="31.109375" customWidth="1"/>
    <col min="8" max="8" width="12.44140625" customWidth="1"/>
    <col min="9" max="26" width="8.6640625" customWidth="1"/>
  </cols>
  <sheetData>
    <row r="1" spans="1:8" ht="14.4" x14ac:dyDescent="0.3">
      <c r="A1" s="2"/>
      <c r="B1" s="3" t="s">
        <v>0</v>
      </c>
      <c r="C1" s="4" t="s">
        <v>44</v>
      </c>
      <c r="D1" s="5"/>
      <c r="E1" s="6"/>
      <c r="F1" s="3" t="s">
        <v>1</v>
      </c>
      <c r="G1" s="7" t="str">
        <f ca="1">RIGHT(CELL("имяфайла",K1),LEN(CELL("имяфайла",K1))-SEARCH("]",CELL("имяфайла",K1)))</f>
        <v>Тест-кейс 1</v>
      </c>
      <c r="H1" s="8"/>
    </row>
    <row r="2" spans="1:8" ht="14.4" x14ac:dyDescent="0.3">
      <c r="A2" s="63"/>
      <c r="B2" s="65" t="s">
        <v>2</v>
      </c>
      <c r="C2" s="67" t="s">
        <v>64</v>
      </c>
      <c r="D2" s="9"/>
      <c r="E2" s="10"/>
      <c r="F2" s="11" t="s">
        <v>3</v>
      </c>
      <c r="G2" s="12" t="s">
        <v>23</v>
      </c>
      <c r="H2" s="13"/>
    </row>
    <row r="3" spans="1:8" ht="31.05" customHeight="1" x14ac:dyDescent="0.3">
      <c r="A3" s="64"/>
      <c r="B3" s="66"/>
      <c r="C3" s="68"/>
      <c r="D3" s="9"/>
      <c r="E3" s="10"/>
      <c r="F3" s="11" t="s">
        <v>4</v>
      </c>
      <c r="G3" s="14"/>
      <c r="H3" s="13"/>
    </row>
    <row r="4" spans="1:8" ht="14.4" x14ac:dyDescent="0.3">
      <c r="A4" s="15"/>
      <c r="B4" s="3" t="s">
        <v>5</v>
      </c>
      <c r="C4" s="16" t="s">
        <v>45</v>
      </c>
      <c r="D4" s="5"/>
      <c r="E4" s="6"/>
      <c r="F4" s="3" t="s">
        <v>6</v>
      </c>
      <c r="G4" s="17">
        <v>45738</v>
      </c>
      <c r="H4" s="8"/>
    </row>
    <row r="5" spans="1:8" ht="14.4" x14ac:dyDescent="0.3">
      <c r="A5" s="18"/>
      <c r="B5" s="19"/>
      <c r="C5" s="19"/>
      <c r="D5" s="20"/>
      <c r="E5" s="20"/>
      <c r="F5" s="20"/>
      <c r="G5" s="19"/>
      <c r="H5" s="19"/>
    </row>
    <row r="6" spans="1:8" thickBot="1" x14ac:dyDescent="0.35">
      <c r="A6" s="15"/>
      <c r="B6" s="3" t="s">
        <v>7</v>
      </c>
      <c r="C6" s="21" t="s">
        <v>42</v>
      </c>
      <c r="D6" s="22"/>
      <c r="E6" s="23"/>
      <c r="F6" s="23"/>
      <c r="G6" s="23"/>
      <c r="H6" s="21"/>
    </row>
    <row r="7" spans="1:8" ht="14.4" x14ac:dyDescent="0.3">
      <c r="A7" s="18"/>
      <c r="B7" s="61" t="s">
        <v>8</v>
      </c>
      <c r="C7" s="60" t="s">
        <v>9</v>
      </c>
      <c r="D7" s="24" t="s">
        <v>10</v>
      </c>
      <c r="E7" s="1"/>
      <c r="F7" s="1"/>
      <c r="G7" s="1"/>
      <c r="H7" s="19"/>
    </row>
    <row r="8" spans="1:8" ht="14.4" x14ac:dyDescent="0.3">
      <c r="A8" s="18"/>
      <c r="B8" s="19"/>
      <c r="C8" s="19"/>
      <c r="D8" s="20"/>
      <c r="E8" s="1"/>
      <c r="F8" s="1"/>
      <c r="G8" s="1"/>
      <c r="H8" s="19"/>
    </row>
    <row r="9" spans="1:8" thickBot="1" x14ac:dyDescent="0.35">
      <c r="A9" s="18"/>
      <c r="B9" s="19"/>
      <c r="C9" s="19"/>
      <c r="D9" s="20"/>
      <c r="E9" s="20"/>
      <c r="F9" s="20"/>
      <c r="G9" s="19"/>
      <c r="H9" s="19"/>
    </row>
    <row r="10" spans="1:8" thickBot="1" x14ac:dyDescent="0.35">
      <c r="A10" s="25">
        <f>COUNTA(A12:A32)</f>
        <v>10</v>
      </c>
      <c r="B10" s="26" t="s">
        <v>11</v>
      </c>
      <c r="C10" s="27" t="s">
        <v>12</v>
      </c>
      <c r="D10" s="27">
        <f>COUNTIF(D12:D32,"x")</f>
        <v>10</v>
      </c>
      <c r="E10" s="27">
        <f>COUNTIF(E12:E32,"x")</f>
        <v>0</v>
      </c>
      <c r="F10" s="27">
        <f>COUNTIF(F12:F32,"x")</f>
        <v>0</v>
      </c>
      <c r="G10" s="39" t="s">
        <v>13</v>
      </c>
      <c r="H10" s="52">
        <f>(D10+E10+F10)/A10</f>
        <v>1</v>
      </c>
    </row>
    <row r="11" spans="1:8" ht="26.4" thickBot="1" x14ac:dyDescent="0.35">
      <c r="A11" s="28" t="s">
        <v>14</v>
      </c>
      <c r="B11" s="29" t="s">
        <v>15</v>
      </c>
      <c r="C11" s="29" t="s">
        <v>16</v>
      </c>
      <c r="D11" s="30" t="s">
        <v>17</v>
      </c>
      <c r="E11" s="30" t="s">
        <v>18</v>
      </c>
      <c r="F11" s="30" t="s">
        <v>19</v>
      </c>
      <c r="G11" s="39" t="s">
        <v>20</v>
      </c>
      <c r="H11" s="53" t="s">
        <v>21</v>
      </c>
    </row>
    <row r="12" spans="1:8" ht="14.4" x14ac:dyDescent="0.3">
      <c r="A12" s="31">
        <v>1</v>
      </c>
      <c r="B12" s="32" t="s">
        <v>24</v>
      </c>
      <c r="C12" s="54" t="s">
        <v>26</v>
      </c>
      <c r="D12" s="33" t="s">
        <v>22</v>
      </c>
      <c r="E12" s="33"/>
      <c r="F12" s="33"/>
      <c r="G12" s="54" t="s">
        <v>26</v>
      </c>
      <c r="H12" s="34"/>
    </row>
    <row r="13" spans="1:8" ht="13.95" customHeight="1" x14ac:dyDescent="0.3">
      <c r="A13" s="35">
        <f t="shared" ref="A13:A14" si="0">A12 + 1</f>
        <v>2</v>
      </c>
      <c r="B13" s="36" t="s">
        <v>25</v>
      </c>
      <c r="C13" s="40" t="s">
        <v>27</v>
      </c>
      <c r="D13" s="33" t="s">
        <v>22</v>
      </c>
      <c r="E13" s="37"/>
      <c r="F13" s="37"/>
      <c r="G13" s="40" t="s">
        <v>27</v>
      </c>
      <c r="H13" s="38"/>
    </row>
    <row r="14" spans="1:8" ht="14.4" x14ac:dyDescent="0.3">
      <c r="A14" s="44">
        <f t="shared" si="0"/>
        <v>3</v>
      </c>
      <c r="B14" s="62" t="s">
        <v>49</v>
      </c>
      <c r="C14" s="42" t="s">
        <v>28</v>
      </c>
      <c r="D14" s="48" t="s">
        <v>22</v>
      </c>
      <c r="E14" s="49"/>
      <c r="F14" s="49"/>
      <c r="G14" s="55" t="s">
        <v>28</v>
      </c>
      <c r="H14" s="51"/>
    </row>
    <row r="15" spans="1:8" ht="25.95" customHeight="1" x14ac:dyDescent="0.3">
      <c r="A15" s="45">
        <v>4</v>
      </c>
      <c r="B15" s="43" t="s">
        <v>43</v>
      </c>
      <c r="C15" s="41" t="s">
        <v>29</v>
      </c>
      <c r="D15" s="47" t="s">
        <v>22</v>
      </c>
      <c r="E15" s="50"/>
      <c r="F15" s="50"/>
      <c r="G15" s="41" t="s">
        <v>29</v>
      </c>
      <c r="H15" s="50"/>
    </row>
    <row r="16" spans="1:8" ht="27" customHeight="1" x14ac:dyDescent="0.3">
      <c r="A16" s="46">
        <v>5</v>
      </c>
      <c r="B16" s="59" t="s">
        <v>41</v>
      </c>
      <c r="C16" s="43" t="s">
        <v>31</v>
      </c>
      <c r="D16" s="47" t="s">
        <v>22</v>
      </c>
      <c r="E16" s="50"/>
      <c r="F16" s="50"/>
      <c r="G16" s="43" t="s">
        <v>30</v>
      </c>
      <c r="H16" s="50"/>
    </row>
    <row r="17" spans="1:8" ht="27" customHeight="1" x14ac:dyDescent="0.3">
      <c r="A17" s="46">
        <v>6</v>
      </c>
      <c r="B17" s="59" t="s">
        <v>46</v>
      </c>
      <c r="C17" s="43" t="s">
        <v>47</v>
      </c>
      <c r="D17" s="47" t="s">
        <v>22</v>
      </c>
      <c r="E17" s="50"/>
      <c r="F17" s="50"/>
      <c r="G17" s="43" t="s">
        <v>47</v>
      </c>
      <c r="H17" s="50"/>
    </row>
    <row r="18" spans="1:8" ht="31.2" customHeight="1" x14ac:dyDescent="0.3">
      <c r="A18" s="46">
        <v>7</v>
      </c>
      <c r="B18" s="59" t="s">
        <v>50</v>
      </c>
      <c r="C18" s="43" t="s">
        <v>53</v>
      </c>
      <c r="D18" s="47" t="s">
        <v>22</v>
      </c>
      <c r="E18" s="50"/>
      <c r="F18" s="50"/>
      <c r="G18" s="43" t="s">
        <v>53</v>
      </c>
      <c r="H18" s="50"/>
    </row>
    <row r="19" spans="1:8" ht="30.6" customHeight="1" x14ac:dyDescent="0.3">
      <c r="A19" s="46">
        <v>8</v>
      </c>
      <c r="B19" s="59" t="s">
        <v>51</v>
      </c>
      <c r="C19" s="43" t="s">
        <v>54</v>
      </c>
      <c r="D19" s="47" t="s">
        <v>22</v>
      </c>
      <c r="E19" s="50"/>
      <c r="F19" s="50"/>
      <c r="G19" s="43" t="s">
        <v>54</v>
      </c>
      <c r="H19" s="50"/>
    </row>
    <row r="20" spans="1:8" ht="30.6" customHeight="1" x14ac:dyDescent="0.3">
      <c r="A20" s="46">
        <v>9</v>
      </c>
      <c r="B20" s="59" t="s">
        <v>52</v>
      </c>
      <c r="C20" s="43" t="s">
        <v>55</v>
      </c>
      <c r="D20" s="47" t="s">
        <v>22</v>
      </c>
      <c r="E20" s="50"/>
      <c r="F20" s="50"/>
      <c r="G20" s="43" t="s">
        <v>55</v>
      </c>
      <c r="H20" s="50"/>
    </row>
    <row r="21" spans="1:8" ht="40.200000000000003" customHeight="1" x14ac:dyDescent="0.3">
      <c r="A21" s="46">
        <v>10</v>
      </c>
      <c r="B21" s="59" t="s">
        <v>41</v>
      </c>
      <c r="C21" s="43" t="s">
        <v>48</v>
      </c>
      <c r="D21" s="47" t="s">
        <v>22</v>
      </c>
      <c r="E21" s="50"/>
      <c r="F21" s="50"/>
      <c r="G21" s="43" t="s">
        <v>48</v>
      </c>
      <c r="H21" s="50"/>
    </row>
    <row r="23" spans="1:8" ht="14.4" x14ac:dyDescent="0.3">
      <c r="B23" s="69" t="s">
        <v>56</v>
      </c>
      <c r="C23" s="69"/>
    </row>
    <row r="24" spans="1:8" ht="14.4" x14ac:dyDescent="0.3">
      <c r="B24" s="57" t="s">
        <v>32</v>
      </c>
      <c r="C24" s="57" t="s">
        <v>33</v>
      </c>
    </row>
    <row r="25" spans="1:8" ht="14.4" x14ac:dyDescent="0.3">
      <c r="B25" s="43" t="s">
        <v>34</v>
      </c>
      <c r="C25" s="43" t="s">
        <v>57</v>
      </c>
    </row>
    <row r="26" spans="1:8" ht="15.75" customHeight="1" x14ac:dyDescent="0.3">
      <c r="B26" s="43" t="s">
        <v>35</v>
      </c>
      <c r="C26" s="43" t="s">
        <v>58</v>
      </c>
    </row>
    <row r="27" spans="1:8" ht="15.75" customHeight="1" x14ac:dyDescent="0.3">
      <c r="B27" s="43" t="s">
        <v>36</v>
      </c>
      <c r="C27" s="43" t="s">
        <v>59</v>
      </c>
    </row>
    <row r="28" spans="1:8" ht="15.75" customHeight="1" x14ac:dyDescent="0.3">
      <c r="B28" s="43" t="s">
        <v>38</v>
      </c>
      <c r="C28" s="43" t="s">
        <v>60</v>
      </c>
    </row>
    <row r="29" spans="1:8" ht="15.75" customHeight="1" x14ac:dyDescent="0.3">
      <c r="B29" s="58" t="s">
        <v>39</v>
      </c>
      <c r="C29" s="41" t="s">
        <v>40</v>
      </c>
    </row>
    <row r="30" spans="1:8" ht="15.75" customHeight="1" x14ac:dyDescent="0.3"/>
    <row r="31" spans="1:8" ht="15.75" customHeight="1" x14ac:dyDescent="0.3">
      <c r="B31" s="69" t="s">
        <v>61</v>
      </c>
      <c r="C31" s="69"/>
    </row>
    <row r="32" spans="1:8" ht="15.75" customHeight="1" x14ac:dyDescent="0.3">
      <c r="B32" s="57" t="s">
        <v>32</v>
      </c>
      <c r="C32" s="57" t="s">
        <v>33</v>
      </c>
    </row>
    <row r="33" spans="2:3" ht="15.75" customHeight="1" x14ac:dyDescent="0.3">
      <c r="B33" s="43" t="s">
        <v>34</v>
      </c>
      <c r="C33" s="43" t="s">
        <v>57</v>
      </c>
    </row>
    <row r="34" spans="2:3" ht="15.75" customHeight="1" x14ac:dyDescent="0.3">
      <c r="B34" s="43" t="s">
        <v>62</v>
      </c>
      <c r="C34" s="43" t="s">
        <v>37</v>
      </c>
    </row>
    <row r="35" spans="2:3" ht="15.75" customHeight="1" x14ac:dyDescent="0.3">
      <c r="B35" s="43" t="s">
        <v>38</v>
      </c>
      <c r="C35" s="43" t="s">
        <v>63</v>
      </c>
    </row>
    <row r="36" spans="2:3" ht="15.75" customHeight="1" x14ac:dyDescent="0.3">
      <c r="B36" s="58" t="s">
        <v>39</v>
      </c>
      <c r="C36" s="41" t="s">
        <v>40</v>
      </c>
    </row>
    <row r="37" spans="2:3" ht="15.75" customHeight="1" x14ac:dyDescent="0.3"/>
    <row r="38" spans="2:3" ht="15.75" customHeight="1" x14ac:dyDescent="0.3">
      <c r="C38" s="56"/>
    </row>
    <row r="39" spans="2:3" ht="15.75" customHeight="1" x14ac:dyDescent="0.3"/>
    <row r="40" spans="2:3" ht="15.75" customHeight="1" x14ac:dyDescent="0.3"/>
    <row r="41" spans="2:3" ht="15.75" customHeight="1" x14ac:dyDescent="0.3"/>
    <row r="42" spans="2:3" ht="15.75" customHeight="1" x14ac:dyDescent="0.3"/>
    <row r="43" spans="2:3" ht="15.75" customHeight="1" x14ac:dyDescent="0.3"/>
    <row r="44" spans="2:3" ht="15.75" customHeight="1" x14ac:dyDescent="0.3"/>
    <row r="45" spans="2:3" ht="15.75" customHeight="1" x14ac:dyDescent="0.3"/>
    <row r="46" spans="2:3" ht="15.75" customHeight="1" x14ac:dyDescent="0.3"/>
    <row r="47" spans="2:3" ht="15.75" customHeight="1" x14ac:dyDescent="0.3"/>
    <row r="48" spans="2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</sheetData>
  <mergeCells count="5">
    <mergeCell ref="A2:A3"/>
    <mergeCell ref="B2:B3"/>
    <mergeCell ref="C2:C3"/>
    <mergeCell ref="B23:C23"/>
    <mergeCell ref="B31:C31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Усанов</cp:lastModifiedBy>
  <dcterms:created xsi:type="dcterms:W3CDTF">2006-09-28T05:33:49Z</dcterms:created>
  <dcterms:modified xsi:type="dcterms:W3CDTF">2025-03-22T09:04:55Z</dcterms:modified>
</cp:coreProperties>
</file>