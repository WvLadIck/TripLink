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Desktop\вузик\"/>
    </mc:Choice>
  </mc:AlternateContent>
  <xr:revisionPtr revIDLastSave="0" documentId="13_ncr:1_{0A341F03-345A-436E-AA2A-040A5D97CC31}" xr6:coauthVersionLast="47" xr6:coauthVersionMax="47" xr10:uidLastSave="{00000000-0000-0000-0000-000000000000}"/>
  <bookViews>
    <workbookView xWindow="-108" yWindow="-108" windowWidth="23256" windowHeight="12576" xr2:uid="{72A40755-7DEB-4F2B-AAE5-6F8E129D2A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4" i="1" s="1"/>
  <c r="A10" i="1" s="1"/>
  <c r="F10" i="1"/>
  <c r="E10" i="1"/>
  <c r="D10" i="1"/>
  <c r="H10" i="1" l="1"/>
</calcChain>
</file>

<file path=xl/sharedStrings.xml><?xml version="1.0" encoding="utf-8"?>
<sst xmlns="http://schemas.openxmlformats.org/spreadsheetml/2006/main" count="95" uniqueCount="64">
  <si>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</si>
  <si>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</si>
  <si>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</si>
  <si>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</si>
  <si>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</si>
  <si>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</si>
  <si>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</si>
  <si>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</si>
  <si>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</si>
  <si>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</si>
  <si>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</si>
  <si>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</si>
  <si>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</si>
  <si>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</si>
  <si>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</si>
  <si>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</si>
  <si>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</si>
  <si>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</si>
  <si>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</si>
  <si>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</si>
  <si>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</si>
  <si>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</si>
  <si>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Запустить приложение TripLink.exe</t>
  </si>
  <si>
    <t>Открылось окно "Вход/Регистрация"</t>
  </si>
  <si>
    <t>Выбрать в меню "Вход"</t>
  </si>
  <si>
    <t>Открылось окно "Вход" с полями "Логин" и "Пароль"</t>
  </si>
  <si>
    <t>Ввести логин user1 в поле "Логин"</t>
  </si>
  <si>
    <t>Логин отображается в поле</t>
  </si>
  <si>
    <t>Ввести пароль в соостветствии со списком
допустимых значений в поле "Пароль"</t>
  </si>
  <si>
    <t>Пароль отображается в поле</t>
  </si>
  <si>
    <t>Нажать кнопку "Далее" - 》</t>
  </si>
  <si>
    <t>Происходит авторизация пользователя, открывается главное меню 
приложения</t>
  </si>
  <si>
    <t>Категория:</t>
  </si>
  <si>
    <t>Допустимые значения:</t>
  </si>
  <si>
    <t>длина</t>
  </si>
  <si>
    <t>строчные буквы</t>
  </si>
  <si>
    <t>a-z</t>
  </si>
  <si>
    <t>прописные буквы</t>
  </si>
  <si>
    <t>A-Z</t>
  </si>
  <si>
    <t>цифры</t>
  </si>
  <si>
    <t>0-9</t>
  </si>
  <si>
    <t>специальные символы</t>
  </si>
  <si>
    <t>пробел</t>
  </si>
  <si>
    <t>отдельный символ</t>
  </si>
  <si>
    <t>Тест-кейс 4</t>
  </si>
  <si>
    <t>SearchTrip.  Поиск поездки</t>
  </si>
  <si>
    <t>Тест-кейс для проверки корректной работы поиска созданных поездок в роли пассажира</t>
  </si>
  <si>
    <t>Крипак Ксения Романовна</t>
  </si>
  <si>
    <t>Пользователь должен быть зарегистрирован в системе, база данных заполнена тестовыми данными</t>
  </si>
  <si>
    <t>Нажать кнопку "Пассажир"</t>
  </si>
  <si>
    <t>Ввести в соотвествии со списком допустимых значений информацию в поля "Куда" и "Откуда", нажать кнопку "Далее" - 》</t>
  </si>
  <si>
    <t>Выводятся все доступные поездки, совпадающие по полям "куда" и "откуда"</t>
  </si>
  <si>
    <t>Открылось окно поиска поездок</t>
  </si>
  <si>
    <t>х</t>
  </si>
  <si>
    <t>Выводится только первая созданная поездка</t>
  </si>
  <si>
    <t>a-z, а-я</t>
  </si>
  <si>
    <t>A-Z, А-Я</t>
  </si>
  <si>
    <t>Список допустимых значений для поля "Email"</t>
  </si>
  <si>
    <t>!@#$%^&amp;*()_+_+{}[];:"',.&lt;&gt;?/`~</t>
  </si>
  <si>
    <t>Список допустимых значений для полей "Логин" и "Пароль"</t>
  </si>
  <si>
    <t>!@#$%^&amp;*()_+-={}[];:"',.&lt;&gt;?/`~</t>
  </si>
  <si>
    <t>Список допустимых значений для полей "Куда" и "Откуда"</t>
  </si>
  <si>
    <t>не пустое</t>
  </si>
  <si>
    <t>Протестирован. Обнаружен дефект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</si>
</sst>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0"/>
      <name val="Times New Roman"/>
      <family val="1"/>
      <charset val="204"/>
    </font>
    <font>
      <u/>
      <sz val="12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 applyNumberFormat="0" applyFill="0" applyBorder="0" applyAlignment="0" applyProtection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1" fillId="0" borderId="3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2" borderId="6" xfId="0" applyFont="1" applyFill="1" applyBorder="1"/>
    <xf numFmtId="0" fontId="1" fillId="0" borderId="9" xfId="0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center" wrapText="1"/>
    </xf>
    <xf numFmtId="0" fontId="1" fillId="2" borderId="13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/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9" fontId="2" fillId="2" borderId="20" xfId="0" applyNumberFormat="1" applyFont="1" applyFill="1" applyBorder="1" applyAlignment="1">
      <alignment horizontal="center"/>
    </xf>
    <xf numFmtId="0" fontId="2" fillId="0" borderId="15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4" fillId="0" borderId="24" xfId="0" applyFont="1" applyBorder="1" applyAlignment="1">
      <alignment wrapText="1"/>
    </xf>
    <xf numFmtId="0" fontId="4" fillId="0" borderId="24" xfId="0" applyFont="1" applyBorder="1"/>
    <xf numFmtId="0" fontId="5" fillId="0" borderId="24" xfId="0" applyFont="1" applyBorder="1"/>
    <xf numFmtId="0" fontId="0" fillId="0" borderId="24" xfId="0" applyBorder="1"/>
    <xf numFmtId="0" fontId="1" fillId="0" borderId="24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5" fillId="0" borderId="0" xfId="0" applyFont="1"/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right" vertical="top"/>
    </xf>
    <xf numFmtId="0" fontId="1" fillId="0" borderId="9" xfId="0" applyFont="1" applyBorder="1" applyAlignment="1">
      <alignment horizontal="left" vertical="top" wrapText="1"/>
    </xf>
    <xf numFmtId="0" fontId="2" fillId="2" borderId="25" xfId="0" applyFont="1" applyFill="1" applyBorder="1" applyAlignment="1">
      <alignment horizontal="center" textRotation="180"/>
    </xf>
    <xf numFmtId="0" fontId="2" fillId="2" borderId="26" xfId="0" applyFont="1" applyFill="1" applyBorder="1"/>
    <xf numFmtId="0" fontId="2" fillId="2" borderId="26" xfId="0" applyFont="1" applyFill="1" applyBorder="1" applyAlignment="1">
      <alignment horizontal="center" textRotation="180"/>
    </xf>
    <xf numFmtId="0" fontId="2" fillId="2" borderId="2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center"/>
    </xf>
    <xf numFmtId="0" fontId="0" fillId="0" borderId="36" xfId="0" applyBorder="1"/>
    <xf numFmtId="0" fontId="6" fillId="0" borderId="35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left" vertical="top" wrapText="1"/>
    </xf>
    <xf numFmtId="0" fontId="4" fillId="0" borderId="38" xfId="0" applyFont="1" applyBorder="1" applyAlignment="1">
      <alignment wrapText="1"/>
    </xf>
    <xf numFmtId="0" fontId="5" fillId="0" borderId="38" xfId="0" applyFont="1" applyBorder="1"/>
    <xf numFmtId="0" fontId="7" fillId="0" borderId="38" xfId="0" applyFont="1" applyBorder="1"/>
    <xf numFmtId="0" fontId="0" fillId="0" borderId="38" xfId="0" applyBorder="1"/>
    <xf numFmtId="0" fontId="0" fillId="0" borderId="39" xfId="0" applyBorder="1"/>
    <xf numFmtId="0" fontId="10" fillId="0" borderId="40" xfId="1" applyFont="1" applyBorder="1"/>
    <xf numFmtId="0" fontId="10" fillId="0" borderId="0" xfId="1" applyFont="1"/>
    <xf numFmtId="0" fontId="11" fillId="0" borderId="15" xfId="1" applyFont="1" applyBorder="1"/>
    <xf numFmtId="0" fontId="10" fillId="0" borderId="21" xfId="1" applyFont="1" applyBorder="1"/>
    <xf numFmtId="0" fontId="10" fillId="0" borderId="41" xfId="1" applyFont="1" applyBorder="1"/>
    <xf numFmtId="0" fontId="11" fillId="0" borderId="42" xfId="1" applyFont="1" applyBorder="1"/>
    <xf numFmtId="0" fontId="10" fillId="0" borderId="43" xfId="1" applyFont="1" applyBorder="1"/>
    <xf numFmtId="0" fontId="13" fillId="0" borderId="43" xfId="2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22" xfId="0" applyFont="1" applyBorder="1"/>
    <xf numFmtId="0" fontId="2" fillId="2" borderId="23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right"/>
    </xf>
    <xf numFmtId="0" fontId="1" fillId="0" borderId="23" xfId="0" applyFont="1" applyBorder="1" applyAlignment="1">
      <alignment wrapText="1"/>
    </xf>
    <xf numFmtId="0" fontId="2" fillId="2" borderId="14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right"/>
    </xf>
    <xf numFmtId="0" fontId="1" fillId="0" borderId="29" xfId="0" applyFont="1" applyBorder="1" applyAlignment="1">
      <alignment horizontal="center" wrapText="1"/>
    </xf>
    <xf numFmtId="0" fontId="2" fillId="2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164" fontId="1" fillId="0" borderId="49" xfId="0" applyNumberFormat="1" applyFont="1" applyBorder="1" applyAlignment="1">
      <alignment horizontal="center" wrapText="1"/>
    </xf>
    <xf numFmtId="0" fontId="1" fillId="2" borderId="51" xfId="0" applyFont="1" applyFill="1" applyBorder="1"/>
    <xf numFmtId="0" fontId="1" fillId="0" borderId="52" xfId="0" applyFont="1" applyBorder="1" applyAlignment="1">
      <alignment horizontal="center"/>
    </xf>
    <xf numFmtId="0" fontId="1" fillId="0" borderId="53" xfId="0" applyFont="1" applyBorder="1"/>
    <xf numFmtId="0" fontId="2" fillId="0" borderId="53" xfId="0" applyFont="1" applyBorder="1" applyAlignment="1">
      <alignment horizontal="center"/>
    </xf>
    <xf numFmtId="0" fontId="1" fillId="0" borderId="54" xfId="0" applyFont="1" applyBorder="1"/>
    <xf numFmtId="0" fontId="1" fillId="0" borderId="0" xfId="0" applyFont="1" applyBorder="1" applyAlignment="1">
      <alignment horizontal="center"/>
    </xf>
    <xf numFmtId="0" fontId="2" fillId="2" borderId="55" xfId="0" applyFont="1" applyFill="1" applyBorder="1" applyAlignment="1">
      <alignment horizontal="right"/>
    </xf>
    <xf numFmtId="0" fontId="1" fillId="0" borderId="56" xfId="0" applyFont="1" applyBorder="1"/>
    <xf numFmtId="0" fontId="2" fillId="0" borderId="56" xfId="0" applyFont="1" applyBorder="1" applyAlignment="1">
      <alignment horizontal="center"/>
    </xf>
    <xf numFmtId="0" fontId="0" fillId="0" borderId="56" xfId="0" applyBorder="1"/>
    <xf numFmtId="0" fontId="1" fillId="0" borderId="57" xfId="0" applyFont="1" applyBorder="1"/>
    <xf numFmtId="0" fontId="10" fillId="0" borderId="24" xfId="1" applyFont="1" applyBorder="1"/>
    <xf numFmtId="0" fontId="11" fillId="0" borderId="24" xfId="1" applyFont="1" applyBorder="1"/>
    <xf numFmtId="0" fontId="12" fillId="0" borderId="24" xfId="2" applyFont="1" applyBorder="1"/>
  </cellXfs>
  <cellStyles count="3">
    <cellStyle name="Гиперссылка 2" xfId="2" xr:uid="{509D90FE-181D-4ECF-AAA5-8E10DD441F9D}"/>
    <cellStyle name="Обычный" xfId="0" builtinId="0"/>
    <cellStyle name="Обычный 2" xfId="1" xr:uid="{E451E044-4779-4B72-B830-FF0C40561C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!@#$%^&amp;*()_+-={}[];:&quot;',.&lt;&gt;?/`~" TargetMode="External"/><Relationship Id="rId1" Type="http://schemas.openxmlformats.org/officeDocument/2006/relationships/hyperlink" Target="mailto:!@#$%^&amp;*()_+_+{}[];:&quot;',.&lt;&gt;?/`~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013-3854-4F44-9E0D-A21BBD594CE5}">
  <dimension ref="A1:H43"/>
  <sheetViews>
    <sheetView tabSelected="1" topLeftCell="A15" workbookViewId="0">
      <selection activeCell="D24" sqref="D24"/>
    </sheetView>
  </sheetViews>
  <sheetFormatPr defaultRowHeight="14.4" x14ac:dyDescent="0.3"/>
  <cols>
    <col min="1" max="1" width="3.33203125" bestFit="1" customWidth="1"/>
    <col min="2" max="2" width="24.44140625" customWidth="1"/>
    <col min="3" max="3" width="81.21875" customWidth="1"/>
    <col min="4" max="4" width="37" bestFit="1" customWidth="1"/>
    <col min="5" max="5" width="3.33203125" bestFit="1" customWidth="1"/>
    <col min="6" max="6" width="11.88671875" bestFit="1" customWidth="1"/>
    <col min="7" max="7" width="23.88671875" bestFit="1" customWidth="1"/>
    <col min="8" max="8" width="10.33203125" bestFit="1" customWidth="1"/>
  </cols>
  <sheetData>
    <row r="1" spans="1:8" x14ac:dyDescent="0.3">
      <c r="A1" s="1"/>
      <c r="B1" s="2" t="s">
        <v>0</v>
      </c>
      <c r="C1" s="3" t="s">
        <v>45</v>
      </c>
      <c r="D1" s="4"/>
      <c r="E1" s="5"/>
      <c r="F1" s="2" t="s">
        <v>1</v>
      </c>
      <c r="G1" s="6" t="s">
        <v>44</v>
      </c>
      <c r="H1" s="7"/>
    </row>
    <row r="2" spans="1:8" ht="27" x14ac:dyDescent="0.3">
      <c r="A2" s="38"/>
      <c r="B2" s="39" t="s">
        <v>2</v>
      </c>
      <c r="C2" s="40" t="s">
        <v>46</v>
      </c>
      <c r="D2" s="9"/>
      <c r="E2" s="10"/>
      <c r="F2" s="11" t="s">
        <v>3</v>
      </c>
      <c r="G2" s="12" t="s">
        <v>63</v>
      </c>
      <c r="H2" s="13"/>
    </row>
    <row r="3" spans="1:8" ht="15" thickBot="1" x14ac:dyDescent="0.35">
      <c r="A3" s="72"/>
      <c r="B3" s="73"/>
      <c r="C3" s="74"/>
      <c r="D3" s="75"/>
      <c r="E3" s="76"/>
      <c r="F3" s="77" t="s">
        <v>4</v>
      </c>
      <c r="G3" s="78">
        <v>1</v>
      </c>
      <c r="H3" s="13"/>
    </row>
    <row r="4" spans="1:8" x14ac:dyDescent="0.3">
      <c r="A4" s="80"/>
      <c r="B4" s="81" t="s">
        <v>5</v>
      </c>
      <c r="C4" s="82" t="s">
        <v>47</v>
      </c>
      <c r="D4" s="83"/>
      <c r="E4" s="84"/>
      <c r="F4" s="81" t="s">
        <v>6</v>
      </c>
      <c r="G4" s="85">
        <v>45743</v>
      </c>
      <c r="H4" s="86"/>
    </row>
    <row r="5" spans="1:8" ht="15" thickBot="1" x14ac:dyDescent="0.35">
      <c r="A5" s="87"/>
      <c r="B5" s="88"/>
      <c r="C5" s="88"/>
      <c r="D5" s="89"/>
      <c r="E5" s="89"/>
      <c r="F5" s="89"/>
      <c r="G5" s="88"/>
      <c r="H5" s="90"/>
    </row>
    <row r="6" spans="1:8" ht="15" thickBot="1" x14ac:dyDescent="0.35">
      <c r="A6" s="79"/>
      <c r="B6" s="92" t="s">
        <v>7</v>
      </c>
      <c r="C6" s="93" t="s">
        <v>48</v>
      </c>
      <c r="D6" s="94"/>
      <c r="E6" s="95"/>
      <c r="F6" s="95"/>
      <c r="G6" s="95"/>
      <c r="H6" s="96"/>
    </row>
    <row r="7" spans="1:8" x14ac:dyDescent="0.3">
      <c r="A7" s="14"/>
      <c r="B7" s="17" t="s">
        <v>8</v>
      </c>
      <c r="C7" s="91" t="s">
        <v>9</v>
      </c>
      <c r="D7" s="18" t="s">
        <v>10</v>
      </c>
      <c r="H7" s="15"/>
    </row>
    <row r="8" spans="1:8" x14ac:dyDescent="0.3">
      <c r="A8" s="14"/>
      <c r="B8" s="15"/>
      <c r="C8" s="15"/>
      <c r="D8" s="16"/>
      <c r="H8" s="15"/>
    </row>
    <row r="9" spans="1:8" ht="15" thickBot="1" x14ac:dyDescent="0.35">
      <c r="A9" s="14"/>
      <c r="B9" s="15"/>
      <c r="C9" s="15"/>
      <c r="D9" s="16"/>
      <c r="E9" s="16"/>
      <c r="F9" s="16"/>
      <c r="G9" s="15"/>
      <c r="H9" s="15"/>
    </row>
    <row r="10" spans="1:8" ht="15" thickBot="1" x14ac:dyDescent="0.35">
      <c r="A10" s="19">
        <f>COUNTA(A12:A29)</f>
        <v>7</v>
      </c>
      <c r="B10" s="20" t="s">
        <v>11</v>
      </c>
      <c r="C10" s="21" t="s">
        <v>12</v>
      </c>
      <c r="D10" s="21">
        <f>COUNTIF(D12:D29,"x")</f>
        <v>0</v>
      </c>
      <c r="E10" s="21">
        <f>COUNTIF(E12:E29,"x")</f>
        <v>0</v>
      </c>
      <c r="F10" s="21">
        <f>COUNTIF(F12:F29,"x")</f>
        <v>0</v>
      </c>
      <c r="G10" s="22" t="s">
        <v>13</v>
      </c>
      <c r="H10" s="23">
        <f>(D10+E10+F10)/A10</f>
        <v>0</v>
      </c>
    </row>
    <row r="11" spans="1:8" ht="26.4" thickBot="1" x14ac:dyDescent="0.35">
      <c r="A11" s="41" t="s">
        <v>14</v>
      </c>
      <c r="B11" s="42" t="s">
        <v>15</v>
      </c>
      <c r="C11" s="42" t="s">
        <v>16</v>
      </c>
      <c r="D11" s="43" t="s">
        <v>17</v>
      </c>
      <c r="E11" s="43" t="s">
        <v>18</v>
      </c>
      <c r="F11" s="43" t="s">
        <v>19</v>
      </c>
      <c r="G11" s="44" t="s">
        <v>20</v>
      </c>
      <c r="H11" s="45" t="s">
        <v>21</v>
      </c>
    </row>
    <row r="12" spans="1:8" ht="26.4" x14ac:dyDescent="0.3">
      <c r="A12" s="46">
        <v>1</v>
      </c>
      <c r="B12" s="47" t="s">
        <v>22</v>
      </c>
      <c r="C12" s="47" t="s">
        <v>23</v>
      </c>
      <c r="D12" s="48" t="s">
        <v>53</v>
      </c>
      <c r="E12" s="48"/>
      <c r="F12" s="48"/>
      <c r="G12" s="47" t="s">
        <v>23</v>
      </c>
      <c r="H12" s="49"/>
    </row>
    <row r="13" spans="1:8" ht="26.4" x14ac:dyDescent="0.3">
      <c r="A13" s="50">
        <f t="shared" ref="A13:A14" si="0">A12 + 1</f>
        <v>2</v>
      </c>
      <c r="B13" s="25" t="s">
        <v>24</v>
      </c>
      <c r="C13" s="25" t="s">
        <v>25</v>
      </c>
      <c r="D13" s="24" t="s">
        <v>53</v>
      </c>
      <c r="E13" s="26"/>
      <c r="F13" s="26"/>
      <c r="G13" s="25" t="s">
        <v>25</v>
      </c>
      <c r="H13" s="51"/>
    </row>
    <row r="14" spans="1:8" ht="26.4" x14ac:dyDescent="0.3">
      <c r="A14" s="52">
        <f t="shared" si="0"/>
        <v>3</v>
      </c>
      <c r="B14" s="8" t="s">
        <v>26</v>
      </c>
      <c r="C14" s="8" t="s">
        <v>27</v>
      </c>
      <c r="D14" s="27" t="s">
        <v>53</v>
      </c>
      <c r="E14" s="28"/>
      <c r="F14" s="28"/>
      <c r="G14" s="8" t="s">
        <v>27</v>
      </c>
      <c r="H14" s="53"/>
    </row>
    <row r="15" spans="1:8" ht="53.4" x14ac:dyDescent="0.3">
      <c r="A15" s="54">
        <v>4</v>
      </c>
      <c r="B15" s="29" t="s">
        <v>28</v>
      </c>
      <c r="C15" s="30" t="s">
        <v>29</v>
      </c>
      <c r="D15" s="31" t="s">
        <v>53</v>
      </c>
      <c r="E15" s="32"/>
      <c r="F15" s="32"/>
      <c r="G15" s="30" t="s">
        <v>29</v>
      </c>
      <c r="H15" s="55"/>
    </row>
    <row r="16" spans="1:8" ht="53.4" x14ac:dyDescent="0.3">
      <c r="A16" s="56">
        <v>5</v>
      </c>
      <c r="B16" s="33" t="s">
        <v>30</v>
      </c>
      <c r="C16" s="29" t="s">
        <v>31</v>
      </c>
      <c r="D16" s="31" t="s">
        <v>53</v>
      </c>
      <c r="E16" s="32"/>
      <c r="F16" s="32"/>
      <c r="G16" s="29" t="s">
        <v>31</v>
      </c>
      <c r="H16" s="55"/>
    </row>
    <row r="17" spans="1:8" ht="27" x14ac:dyDescent="0.3">
      <c r="A17" s="56">
        <v>6</v>
      </c>
      <c r="B17" s="33" t="s">
        <v>49</v>
      </c>
      <c r="C17" s="29" t="s">
        <v>52</v>
      </c>
      <c r="D17" s="31" t="s">
        <v>53</v>
      </c>
      <c r="E17" s="32"/>
      <c r="F17" s="32"/>
      <c r="G17" s="29" t="s">
        <v>52</v>
      </c>
      <c r="H17" s="55"/>
    </row>
    <row r="18" spans="1:8" ht="66.599999999999994" thickBot="1" x14ac:dyDescent="0.35">
      <c r="A18" s="57">
        <v>7</v>
      </c>
      <c r="B18" s="58" t="s">
        <v>50</v>
      </c>
      <c r="C18" s="59" t="s">
        <v>51</v>
      </c>
      <c r="D18" s="60"/>
      <c r="E18" s="61" t="s">
        <v>53</v>
      </c>
      <c r="F18" s="62"/>
      <c r="G18" s="59" t="s">
        <v>54</v>
      </c>
      <c r="H18" s="63">
        <v>1</v>
      </c>
    </row>
    <row r="19" spans="1:8" x14ac:dyDescent="0.3">
      <c r="A19" s="34"/>
      <c r="B19" s="35"/>
      <c r="C19" s="36"/>
      <c r="D19" s="37"/>
      <c r="G19" s="36"/>
    </row>
    <row r="21" spans="1:8" ht="14.4" customHeight="1" x14ac:dyDescent="0.3">
      <c r="B21" s="97"/>
      <c r="C21" s="97" t="s">
        <v>61</v>
      </c>
    </row>
    <row r="22" spans="1:8" ht="15.6" x14ac:dyDescent="0.3">
      <c r="B22" s="98" t="s">
        <v>32</v>
      </c>
      <c r="C22" s="98" t="s">
        <v>33</v>
      </c>
    </row>
    <row r="23" spans="1:8" ht="15.6" x14ac:dyDescent="0.3">
      <c r="B23" s="97" t="s">
        <v>34</v>
      </c>
      <c r="C23" s="97" t="s">
        <v>62</v>
      </c>
    </row>
    <row r="24" spans="1:8" ht="15.6" x14ac:dyDescent="0.3">
      <c r="B24" s="97" t="s">
        <v>35</v>
      </c>
      <c r="C24" s="97" t="s">
        <v>55</v>
      </c>
    </row>
    <row r="25" spans="1:8" ht="15.6" x14ac:dyDescent="0.3">
      <c r="B25" s="97" t="s">
        <v>37</v>
      </c>
      <c r="C25" s="97" t="s">
        <v>56</v>
      </c>
    </row>
    <row r="26" spans="1:8" ht="15.6" x14ac:dyDescent="0.3">
      <c r="B26" s="97" t="s">
        <v>42</v>
      </c>
      <c r="C26" s="97" t="s">
        <v>43</v>
      </c>
    </row>
    <row r="27" spans="1:8" ht="15.6" x14ac:dyDescent="0.3">
      <c r="B27" s="65"/>
      <c r="C27" s="65"/>
    </row>
    <row r="28" spans="1:8" ht="15.6" x14ac:dyDescent="0.3">
      <c r="B28" s="97"/>
      <c r="C28" s="97" t="s">
        <v>57</v>
      </c>
    </row>
    <row r="29" spans="1:8" ht="15.6" x14ac:dyDescent="0.3">
      <c r="B29" s="98" t="s">
        <v>32</v>
      </c>
      <c r="C29" s="98" t="s">
        <v>33</v>
      </c>
    </row>
    <row r="30" spans="1:8" ht="15.6" x14ac:dyDescent="0.3">
      <c r="B30" s="97" t="s">
        <v>34</v>
      </c>
      <c r="C30" s="97" t="s">
        <v>62</v>
      </c>
    </row>
    <row r="31" spans="1:8" ht="15.6" x14ac:dyDescent="0.3">
      <c r="B31" s="97" t="s">
        <v>35</v>
      </c>
      <c r="C31" s="97" t="s">
        <v>36</v>
      </c>
    </row>
    <row r="32" spans="1:8" ht="15.6" x14ac:dyDescent="0.3">
      <c r="B32" s="97" t="s">
        <v>37</v>
      </c>
      <c r="C32" s="97" t="s">
        <v>38</v>
      </c>
    </row>
    <row r="33" spans="2:3" ht="15.6" x14ac:dyDescent="0.3">
      <c r="B33" s="97" t="s">
        <v>39</v>
      </c>
      <c r="C33" s="97" t="s">
        <v>40</v>
      </c>
    </row>
    <row r="34" spans="2:3" ht="15.6" x14ac:dyDescent="0.3">
      <c r="B34" s="97" t="s">
        <v>41</v>
      </c>
      <c r="C34" s="99" t="s">
        <v>58</v>
      </c>
    </row>
    <row r="35" spans="2:3" ht="15.6" x14ac:dyDescent="0.3">
      <c r="B35" s="65"/>
      <c r="C35" s="65"/>
    </row>
    <row r="36" spans="2:3" ht="15.6" x14ac:dyDescent="0.3">
      <c r="B36" s="64"/>
      <c r="C36" s="68" t="s">
        <v>59</v>
      </c>
    </row>
    <row r="37" spans="2:3" ht="15.6" x14ac:dyDescent="0.3">
      <c r="B37" s="66" t="s">
        <v>32</v>
      </c>
      <c r="C37" s="69" t="s">
        <v>33</v>
      </c>
    </row>
    <row r="38" spans="2:3" ht="15.6" x14ac:dyDescent="0.3">
      <c r="B38" s="67" t="s">
        <v>34</v>
      </c>
      <c r="C38" s="70" t="s">
        <v>62</v>
      </c>
    </row>
    <row r="39" spans="2:3" ht="15.6" x14ac:dyDescent="0.3">
      <c r="B39" s="67" t="s">
        <v>35</v>
      </c>
      <c r="C39" s="70" t="s">
        <v>36</v>
      </c>
    </row>
    <row r="40" spans="2:3" ht="15.6" x14ac:dyDescent="0.3">
      <c r="B40" s="67" t="s">
        <v>37</v>
      </c>
      <c r="C40" s="70" t="s">
        <v>38</v>
      </c>
    </row>
    <row r="41" spans="2:3" ht="15.6" x14ac:dyDescent="0.3">
      <c r="B41" s="67" t="s">
        <v>39</v>
      </c>
      <c r="C41" s="70" t="s">
        <v>40</v>
      </c>
    </row>
    <row r="42" spans="2:3" ht="15.6" x14ac:dyDescent="0.3">
      <c r="B42" s="67" t="s">
        <v>41</v>
      </c>
      <c r="C42" s="71" t="s">
        <v>60</v>
      </c>
    </row>
    <row r="43" spans="2:3" ht="15.6" x14ac:dyDescent="0.3">
      <c r="B43" s="67" t="s">
        <v>42</v>
      </c>
      <c r="C43" s="70" t="s">
        <v>43</v>
      </c>
    </row>
  </sheetData>
  <mergeCells count="3">
    <mergeCell ref="A2:A3"/>
    <mergeCell ref="B2:B3"/>
    <mergeCell ref="C2:C3"/>
  </mergeCells>
  <hyperlinks>
    <hyperlink ref="C34" r:id="rId1" xr:uid="{27B28F6E-2376-434F-8376-8A48DCCDDD5C}"/>
    <hyperlink ref="C42" r:id="rId2" xr:uid="{D0722319-01B5-424D-A918-9D86EC9BAC1B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F7451</dc:creator>
  <cp:lastModifiedBy>F7451</cp:lastModifiedBy>
  <dcterms:created xsi:type="dcterms:W3CDTF">2025-03-27T12:28:03Z</dcterms:created>
  <dcterms:modified xsi:type="dcterms:W3CDTF">2025-03-29T07:51:26Z</dcterms:modified>
</cp:coreProperties>
</file>