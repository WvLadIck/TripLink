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us\Downloads\"/>
    </mc:Choice>
  </mc:AlternateContent>
  <xr:revisionPtr revIDLastSave="0" documentId="13_ncr:1_{F2CD3C65-1BD2-47E8-8290-0B4ACF13F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-кейс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F10" i="3"/>
  <c r="E10" i="3"/>
  <c r="D10" i="3"/>
  <c r="A10" i="3" l="1"/>
  <c r="H10" i="3" s="1"/>
</calcChain>
</file>

<file path=xl/sharedStrings.xml><?xml version="1.0" encoding="utf-8"?>
<sst xmlns="http://schemas.openxmlformats.org/spreadsheetml/2006/main" count="99" uniqueCount="65">
  <si>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</si>
  <si>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</si>
  <si>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</si>
  <si>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</si>
  <si>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</si>
  <si>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</si>
  <si>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</si>
  <si>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</si>
  <si>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</si>
  <si>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</si>
  <si>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</si>
  <si>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</si>
  <si>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</si>
  <si>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</si>
  <si>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</si>
  <si>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</si>
  <si>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</si>
  <si>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</si>
  <si>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</si>
  <si>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</si>
  <si>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</si>
  <si>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</si>
  <si>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</si>
  <si>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Запустить приложение TripLink.exe</t>
  </si>
  <si>
    <t>Выбрать в меню "Регистрация"</t>
  </si>
  <si>
    <t xml:space="preserve">Ввести ФИО в поле "ФИО"
</t>
  </si>
  <si>
    <t xml:space="preserve">Ввести Email в поле "Email"
</t>
  </si>
  <si>
    <t xml:space="preserve">Ввести придуманный логин в поле "Логин"
</t>
  </si>
  <si>
    <t xml:space="preserve">Ввести придуманный пароль в поле "Пароль"
</t>
  </si>
  <si>
    <t xml:space="preserve">Нажать кнопку "&gt;" (Далее)
</t>
  </si>
  <si>
    <t>Открылось окно "Вход/Регистрация"</t>
  </si>
  <si>
    <t>Открылось окно "Регистрация" с полями "ФИО", "Email", "Логин" и "Пароль"</t>
  </si>
  <si>
    <t>ФИО отображается в поле</t>
  </si>
  <si>
    <t>Email отображается в поле</t>
  </si>
  <si>
    <t>Логин отображается в поле</t>
  </si>
  <si>
    <t>Пароль отображается в поле</t>
  </si>
  <si>
    <t>Происходит регистрация пользователя, открывается главное меню приложения</t>
  </si>
  <si>
    <t xml:space="preserve"> </t>
  </si>
  <si>
    <t>Марущак Анастасия Олеговна</t>
  </si>
  <si>
    <t>21 марта - 2025</t>
  </si>
  <si>
    <t>Протестирован. Ошибок нет</t>
  </si>
  <si>
    <t>Тест-кейс 2</t>
  </si>
  <si>
    <t>Registration. Регистрация пользователя</t>
  </si>
  <si>
    <t>Тест-кейс для проверки возможности регистрации пользователя при входе в программу</t>
  </si>
  <si>
    <t>Пользователь не должен быть зарегестрирован в системе</t>
  </si>
  <si>
    <t>Категория:</t>
  </si>
  <si>
    <t>Допустимые значения:</t>
  </si>
  <si>
    <t>длина</t>
  </si>
  <si>
    <t>строчные буквы</t>
  </si>
  <si>
    <t>прописные буквы</t>
  </si>
  <si>
    <t>цифры</t>
  </si>
  <si>
    <t>специальные символы</t>
  </si>
  <si>
    <t>пробел</t>
  </si>
  <si>
    <t>не менее 12 символов</t>
  </si>
  <si>
    <t>a-z</t>
  </si>
  <si>
    <t>A-Z</t>
  </si>
  <si>
    <t>0-9</t>
  </si>
  <si>
    <t>!@#$%^&amp;*()_+_+{}[];:"',.&lt;&gt;?/`~</t>
  </si>
  <si>
    <t>отдельный символ</t>
  </si>
  <si>
    <t>Список допустимых значений для поля "ФИО"</t>
  </si>
  <si>
    <t>Список допустимых значений для поля "Email"</t>
  </si>
  <si>
    <t>Список допустимых значений для полей "Логин" и "Пароль"</t>
  </si>
  <si>
    <t>a-z, а-я</t>
  </si>
  <si>
    <t>A-Z, А-Я</t>
  </si>
  <si>
    <t>!@#$%^&amp;*()_+-={}[];:"',.&lt;&gt;?/`~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</si>
</sst>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1"/>
      <color rgb="FF000000"/>
      <name val="Calibri"/>
    </font>
    <font>
      <u/>
      <sz val="11"/>
      <color theme="10"/>
      <name val="Calibri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0"/>
      <name val="Times New Roman"/>
      <family val="1"/>
      <charset val="204"/>
    </font>
    <font>
      <u/>
      <sz val="12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 applyFont="1" applyAlignment="1"/>
    <xf numFmtId="0" fontId="0" fillId="0" borderId="0" xfId="0" applyFont="1" applyBorder="1" applyAlignment="1"/>
    <xf numFmtId="0" fontId="2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2" borderId="13" xfId="0" applyFont="1" applyFill="1" applyBorder="1"/>
    <xf numFmtId="0" fontId="4" fillId="0" borderId="0" xfId="0" applyFont="1" applyAlignment="1"/>
    <xf numFmtId="0" fontId="2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0" fontId="2" fillId="2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4" xfId="0" applyFont="1" applyBorder="1"/>
    <xf numFmtId="0" fontId="2" fillId="0" borderId="19" xfId="0" applyFont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0" xfId="0" applyFont="1" applyBorder="1"/>
    <xf numFmtId="0" fontId="3" fillId="0" borderId="20" xfId="0" applyFont="1" applyBorder="1" applyAlignment="1">
      <alignment horizontal="center"/>
    </xf>
    <xf numFmtId="0" fontId="4" fillId="0" borderId="20" xfId="0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/>
    <xf numFmtId="0" fontId="3" fillId="2" borderId="23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right"/>
    </xf>
    <xf numFmtId="9" fontId="3" fillId="2" borderId="25" xfId="0" applyNumberFormat="1" applyFont="1" applyFill="1" applyBorder="1"/>
    <xf numFmtId="0" fontId="3" fillId="2" borderId="26" xfId="0" applyFont="1" applyFill="1" applyBorder="1" applyAlignment="1">
      <alignment horizontal="center" textRotation="180"/>
    </xf>
    <xf numFmtId="0" fontId="3" fillId="2" borderId="23" xfId="0" applyFont="1" applyFill="1" applyBorder="1"/>
    <xf numFmtId="0" fontId="3" fillId="2" borderId="23" xfId="0" applyFont="1" applyFill="1" applyBorder="1" applyAlignment="1">
      <alignment horizontal="center" textRotation="180"/>
    </xf>
    <xf numFmtId="0" fontId="3" fillId="2" borderId="24" xfId="0" applyFont="1" applyFill="1" applyBorder="1"/>
    <xf numFmtId="0" fontId="3" fillId="2" borderId="25" xfId="0" applyFont="1" applyFill="1" applyBorder="1"/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4" fillId="0" borderId="0" xfId="0" applyFont="1" applyBorder="1" applyAlignment="1"/>
    <xf numFmtId="0" fontId="4" fillId="0" borderId="0" xfId="0" applyFont="1" applyBorder="1"/>
    <xf numFmtId="0" fontId="6" fillId="0" borderId="35" xfId="0" applyFont="1" applyBorder="1"/>
    <xf numFmtId="0" fontId="6" fillId="0" borderId="36" xfId="0" applyFont="1" applyBorder="1" applyAlignment="1"/>
    <xf numFmtId="0" fontId="6" fillId="0" borderId="38" xfId="0" applyFont="1" applyBorder="1" applyAlignment="1"/>
    <xf numFmtId="0" fontId="6" fillId="0" borderId="0" xfId="0" applyFont="1" applyAlignment="1"/>
    <xf numFmtId="0" fontId="7" fillId="0" borderId="4" xfId="0" applyFont="1" applyBorder="1"/>
    <xf numFmtId="0" fontId="7" fillId="0" borderId="37" xfId="0" applyFont="1" applyBorder="1"/>
    <xf numFmtId="0" fontId="6" fillId="0" borderId="38" xfId="0" applyFont="1" applyBorder="1"/>
    <xf numFmtId="0" fontId="6" fillId="0" borderId="1" xfId="0" applyFont="1" applyBorder="1"/>
    <xf numFmtId="0" fontId="6" fillId="0" borderId="19" xfId="0" applyFont="1" applyBorder="1"/>
    <xf numFmtId="0" fontId="6" fillId="0" borderId="39" xfId="0" applyFont="1" applyBorder="1"/>
    <xf numFmtId="0" fontId="6" fillId="0" borderId="0" xfId="0" applyFont="1" applyBorder="1"/>
    <xf numFmtId="0" fontId="6" fillId="0" borderId="40" xfId="0" applyFont="1" applyBorder="1" applyAlignment="1"/>
    <xf numFmtId="0" fontId="4" fillId="0" borderId="38" xfId="0" applyFont="1" applyBorder="1"/>
    <xf numFmtId="0" fontId="8" fillId="0" borderId="19" xfId="1" applyFont="1" applyBorder="1"/>
    <xf numFmtId="0" fontId="7" fillId="0" borderId="41" xfId="0" applyFont="1" applyBorder="1"/>
    <xf numFmtId="0" fontId="6" fillId="0" borderId="42" xfId="0" applyFont="1" applyBorder="1"/>
    <xf numFmtId="0" fontId="9" fillId="0" borderId="42" xfId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#$%^&amp;*()_+-={}[];:&quot;',.&lt;&gt;?/`~" TargetMode="External"/><Relationship Id="rId1" Type="http://schemas.openxmlformats.org/officeDocument/2006/relationships/hyperlink" Target="mailto:!@#$%^&amp;*()_+_+{}[];:&quot;',.&lt;&gt;?/`~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zoomScale="110" zoomScaleNormal="116" workbookViewId="0">
      <selection activeCell="C8" sqref="C8"/>
    </sheetView>
  </sheetViews>
  <sheetFormatPr defaultColWidth="14.44140625" defaultRowHeight="15" customHeight="1" x14ac:dyDescent="0.3"/>
  <cols>
    <col min="1" max="1" width="8.6640625" style="9" customWidth="1"/>
    <col min="2" max="2" width="29.77734375" style="9" bestFit="1" customWidth="1"/>
    <col min="3" max="3" width="71.77734375" style="9" bestFit="1" customWidth="1"/>
    <col min="4" max="6" width="8.6640625" style="9" customWidth="1"/>
    <col min="7" max="7" width="39.6640625" style="9" bestFit="1" customWidth="1"/>
    <col min="8" max="8" width="12.44140625" style="9" customWidth="1"/>
    <col min="9" max="12" width="8.6640625" style="9" customWidth="1"/>
    <col min="13" max="26" width="8.6640625" customWidth="1"/>
  </cols>
  <sheetData>
    <row r="1" spans="1:8" ht="15.6" x14ac:dyDescent="0.3">
      <c r="A1" s="2"/>
      <c r="B1" s="3" t="s">
        <v>0</v>
      </c>
      <c r="C1" s="4" t="s">
        <v>42</v>
      </c>
      <c r="D1" s="5"/>
      <c r="E1" s="6"/>
      <c r="F1" s="3" t="s">
        <v>1</v>
      </c>
      <c r="G1" s="7" t="s">
        <v>41</v>
      </c>
      <c r="H1" s="8"/>
    </row>
    <row r="2" spans="1:8" ht="31.2" x14ac:dyDescent="0.3">
      <c r="A2" s="10"/>
      <c r="B2" s="11" t="s">
        <v>2</v>
      </c>
      <c r="C2" s="12" t="s">
        <v>43</v>
      </c>
      <c r="D2" s="13"/>
      <c r="E2" s="14"/>
      <c r="F2" s="15" t="s">
        <v>3</v>
      </c>
      <c r="G2" s="16" t="s">
        <v>40</v>
      </c>
      <c r="H2" s="17"/>
    </row>
    <row r="3" spans="1:8" ht="15.6" x14ac:dyDescent="0.3">
      <c r="A3" s="18"/>
      <c r="B3" s="19"/>
      <c r="C3" s="20"/>
      <c r="D3" s="13"/>
      <c r="E3" s="14"/>
      <c r="F3" s="15" t="s">
        <v>4</v>
      </c>
      <c r="G3" s="21"/>
      <c r="H3" s="17"/>
    </row>
    <row r="4" spans="1:8" ht="15.6" x14ac:dyDescent="0.3">
      <c r="A4" s="22"/>
      <c r="B4" s="3" t="s">
        <v>5</v>
      </c>
      <c r="C4" s="23" t="s">
        <v>38</v>
      </c>
      <c r="D4" s="5"/>
      <c r="E4" s="6"/>
      <c r="F4" s="3" t="s">
        <v>6</v>
      </c>
      <c r="G4" s="24" t="s">
        <v>39</v>
      </c>
      <c r="H4" s="8"/>
    </row>
    <row r="5" spans="1:8" ht="15.6" x14ac:dyDescent="0.3">
      <c r="A5" s="25"/>
      <c r="B5" s="26"/>
      <c r="C5" s="26"/>
      <c r="D5" s="27"/>
      <c r="E5" s="27"/>
      <c r="F5" s="27"/>
      <c r="G5" s="26"/>
      <c r="H5" s="26"/>
    </row>
    <row r="6" spans="1:8" ht="15.6" x14ac:dyDescent="0.3">
      <c r="A6" s="22"/>
      <c r="B6" s="3" t="s">
        <v>7</v>
      </c>
      <c r="C6" s="28" t="s">
        <v>44</v>
      </c>
      <c r="D6" s="29"/>
      <c r="E6" s="30"/>
      <c r="F6" s="30"/>
      <c r="G6" s="30"/>
      <c r="H6" s="28"/>
    </row>
    <row r="7" spans="1:8" ht="15.6" x14ac:dyDescent="0.3">
      <c r="A7" s="25"/>
      <c r="B7" s="31" t="s">
        <v>8</v>
      </c>
      <c r="C7" s="31" t="s">
        <v>9</v>
      </c>
      <c r="D7" s="32" t="s">
        <v>10</v>
      </c>
      <c r="E7" s="33"/>
      <c r="F7" s="33"/>
      <c r="G7" s="33"/>
      <c r="H7" s="26"/>
    </row>
    <row r="8" spans="1:8" ht="15.6" x14ac:dyDescent="0.3">
      <c r="A8" s="25"/>
      <c r="B8" s="26"/>
      <c r="C8" s="26"/>
      <c r="D8" s="27"/>
      <c r="E8" s="33"/>
      <c r="F8" s="33"/>
      <c r="G8" s="33"/>
      <c r="H8" s="26"/>
    </row>
    <row r="9" spans="1:8" ht="15.6" x14ac:dyDescent="0.3">
      <c r="A9" s="25"/>
      <c r="B9" s="26"/>
      <c r="C9" s="26"/>
      <c r="D9" s="27"/>
      <c r="E9" s="27"/>
      <c r="F9" s="27"/>
      <c r="G9" s="26"/>
      <c r="H9" s="26"/>
    </row>
    <row r="10" spans="1:8" ht="15.6" x14ac:dyDescent="0.3">
      <c r="A10" s="34">
        <f>COUNTA(A12:A26)</f>
        <v>7</v>
      </c>
      <c r="B10" s="35" t="s">
        <v>11</v>
      </c>
      <c r="C10" s="36" t="s">
        <v>12</v>
      </c>
      <c r="D10" s="37">
        <f>COUNTIF(D12:D26,"x")</f>
        <v>7</v>
      </c>
      <c r="E10" s="37">
        <f>COUNTIF(E12:E26,"x")</f>
        <v>0</v>
      </c>
      <c r="F10" s="37">
        <f>COUNTIF(F12:F26,"x")</f>
        <v>0</v>
      </c>
      <c r="G10" s="38" t="s">
        <v>13</v>
      </c>
      <c r="H10" s="39">
        <f>(D10+E10+F10)/A10</f>
        <v>1</v>
      </c>
    </row>
    <row r="11" spans="1:8" ht="29.4" x14ac:dyDescent="0.3">
      <c r="A11" s="40" t="s">
        <v>14</v>
      </c>
      <c r="B11" s="41" t="s">
        <v>15</v>
      </c>
      <c r="C11" s="41" t="s">
        <v>16</v>
      </c>
      <c r="D11" s="42" t="s">
        <v>17</v>
      </c>
      <c r="E11" s="42" t="s">
        <v>18</v>
      </c>
      <c r="F11" s="42" t="s">
        <v>19</v>
      </c>
      <c r="G11" s="43" t="s">
        <v>20</v>
      </c>
      <c r="H11" s="44" t="s">
        <v>21</v>
      </c>
    </row>
    <row r="12" spans="1:8" ht="31.2" x14ac:dyDescent="0.3">
      <c r="A12" s="45">
        <v>1</v>
      </c>
      <c r="B12" s="46" t="s">
        <v>23</v>
      </c>
      <c r="C12" s="46" t="s">
        <v>30</v>
      </c>
      <c r="D12" s="47" t="s">
        <v>22</v>
      </c>
      <c r="E12" s="47"/>
      <c r="F12" s="47"/>
      <c r="G12" s="46" t="s">
        <v>30</v>
      </c>
      <c r="H12" s="48"/>
    </row>
    <row r="13" spans="1:8" ht="62.4" x14ac:dyDescent="0.3">
      <c r="A13" s="49">
        <f t="shared" ref="A13:A18" si="0">A12 + 1</f>
        <v>2</v>
      </c>
      <c r="B13" s="50" t="s">
        <v>24</v>
      </c>
      <c r="C13" s="50" t="s">
        <v>31</v>
      </c>
      <c r="D13" s="47" t="s">
        <v>22</v>
      </c>
      <c r="E13" s="51"/>
      <c r="F13" s="51"/>
      <c r="G13" s="50" t="s">
        <v>31</v>
      </c>
      <c r="H13" s="52"/>
    </row>
    <row r="14" spans="1:8" ht="31.2" x14ac:dyDescent="0.3">
      <c r="A14" s="49">
        <f t="shared" si="0"/>
        <v>3</v>
      </c>
      <c r="B14" s="50" t="s">
        <v>25</v>
      </c>
      <c r="C14" s="50" t="s">
        <v>32</v>
      </c>
      <c r="D14" s="47" t="s">
        <v>22</v>
      </c>
      <c r="E14" s="51"/>
      <c r="F14" s="51"/>
      <c r="G14" s="50" t="s">
        <v>32</v>
      </c>
      <c r="H14" s="52"/>
    </row>
    <row r="15" spans="1:8" ht="15" customHeight="1" x14ac:dyDescent="0.3">
      <c r="A15" s="49">
        <f t="shared" si="0"/>
        <v>4</v>
      </c>
      <c r="B15" s="50" t="s">
        <v>26</v>
      </c>
      <c r="C15" s="50" t="s">
        <v>33</v>
      </c>
      <c r="D15" s="47" t="s">
        <v>22</v>
      </c>
      <c r="E15" s="51"/>
      <c r="F15" s="51"/>
      <c r="G15" s="50" t="s">
        <v>33</v>
      </c>
      <c r="H15" s="52"/>
    </row>
    <row r="16" spans="1:8" ht="46.8" x14ac:dyDescent="0.3">
      <c r="A16" s="53">
        <f t="shared" si="0"/>
        <v>5</v>
      </c>
      <c r="B16" s="54" t="s">
        <v>27</v>
      </c>
      <c r="C16" s="54" t="s">
        <v>34</v>
      </c>
      <c r="D16" s="55" t="s">
        <v>22</v>
      </c>
      <c r="E16" s="56"/>
      <c r="F16" s="56"/>
      <c r="G16" s="54" t="s">
        <v>34</v>
      </c>
      <c r="H16" s="57"/>
    </row>
    <row r="17" spans="1:12" s="1" customFormat="1" ht="46.8" x14ac:dyDescent="0.3">
      <c r="A17" s="58">
        <f t="shared" si="0"/>
        <v>6</v>
      </c>
      <c r="B17" s="59" t="s">
        <v>28</v>
      </c>
      <c r="C17" s="59" t="s">
        <v>35</v>
      </c>
      <c r="D17" s="60" t="s">
        <v>22</v>
      </c>
      <c r="E17" s="60"/>
      <c r="F17" s="60"/>
      <c r="G17" s="59" t="s">
        <v>35</v>
      </c>
      <c r="H17" s="59"/>
      <c r="I17" s="61"/>
      <c r="J17" s="61"/>
      <c r="K17" s="61"/>
      <c r="L17" s="61"/>
    </row>
    <row r="18" spans="1:12" ht="46.8" x14ac:dyDescent="0.3">
      <c r="A18" s="58">
        <f t="shared" si="0"/>
        <v>7</v>
      </c>
      <c r="B18" s="59" t="s">
        <v>29</v>
      </c>
      <c r="C18" s="59" t="s">
        <v>36</v>
      </c>
      <c r="D18" s="60" t="s">
        <v>22</v>
      </c>
      <c r="E18" s="60"/>
      <c r="F18" s="60"/>
      <c r="G18" s="59" t="s">
        <v>36</v>
      </c>
      <c r="H18" s="59"/>
    </row>
    <row r="19" spans="1:12" s="1" customFormat="1" ht="15.6" x14ac:dyDescent="0.3">
      <c r="A19" s="61"/>
      <c r="B19" s="61"/>
      <c r="C19" s="62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5.6" x14ac:dyDescent="0.3">
      <c r="B20" s="63"/>
      <c r="C20" s="64" t="s">
        <v>59</v>
      </c>
      <c r="D20" s="65"/>
      <c r="E20" s="66"/>
    </row>
    <row r="21" spans="1:12" ht="15.75" customHeight="1" x14ac:dyDescent="0.3">
      <c r="B21" s="67" t="s">
        <v>45</v>
      </c>
      <c r="C21" s="68" t="s">
        <v>46</v>
      </c>
      <c r="D21" s="69"/>
      <c r="E21" s="66"/>
    </row>
    <row r="22" spans="1:12" ht="15.75" customHeight="1" x14ac:dyDescent="0.3">
      <c r="B22" s="70" t="s">
        <v>47</v>
      </c>
      <c r="C22" s="71" t="s">
        <v>53</v>
      </c>
      <c r="D22" s="69"/>
      <c r="E22" s="66" t="s">
        <v>37</v>
      </c>
    </row>
    <row r="23" spans="1:12" ht="15.75" customHeight="1" x14ac:dyDescent="0.3">
      <c r="B23" s="70" t="s">
        <v>48</v>
      </c>
      <c r="C23" s="71" t="s">
        <v>62</v>
      </c>
      <c r="D23" s="69"/>
      <c r="E23" s="66"/>
    </row>
    <row r="24" spans="1:12" ht="15.75" customHeight="1" x14ac:dyDescent="0.3">
      <c r="B24" s="70" t="s">
        <v>49</v>
      </c>
      <c r="C24" s="71" t="s">
        <v>63</v>
      </c>
      <c r="D24" s="69"/>
      <c r="E24" s="66"/>
    </row>
    <row r="25" spans="1:12" ht="15.75" customHeight="1" x14ac:dyDescent="0.3">
      <c r="B25" s="70" t="s">
        <v>50</v>
      </c>
      <c r="C25" s="71" t="s">
        <v>56</v>
      </c>
      <c r="D25" s="69"/>
      <c r="E25" s="66"/>
    </row>
    <row r="26" spans="1:12" ht="15.75" customHeight="1" x14ac:dyDescent="0.3">
      <c r="B26" s="70" t="s">
        <v>52</v>
      </c>
      <c r="C26" s="72" t="s">
        <v>58</v>
      </c>
      <c r="D26" s="69"/>
      <c r="E26" s="66"/>
    </row>
    <row r="27" spans="1:12" ht="15.75" customHeight="1" x14ac:dyDescent="0.3">
      <c r="B27" s="73"/>
      <c r="C27" s="73"/>
      <c r="D27" s="73"/>
      <c r="E27" s="66"/>
    </row>
    <row r="28" spans="1:12" ht="15.75" customHeight="1" x14ac:dyDescent="0.3">
      <c r="B28" s="63"/>
      <c r="C28" s="74" t="s">
        <v>60</v>
      </c>
      <c r="D28" s="75"/>
    </row>
    <row r="29" spans="1:12" ht="15.75" customHeight="1" x14ac:dyDescent="0.3">
      <c r="B29" s="67" t="s">
        <v>45</v>
      </c>
      <c r="C29" s="68" t="s">
        <v>46</v>
      </c>
      <c r="D29" s="75"/>
    </row>
    <row r="30" spans="1:12" ht="15.75" customHeight="1" x14ac:dyDescent="0.3">
      <c r="B30" s="70" t="s">
        <v>47</v>
      </c>
      <c r="C30" s="71" t="s">
        <v>53</v>
      </c>
      <c r="D30" s="75"/>
    </row>
    <row r="31" spans="1:12" ht="15.75" customHeight="1" x14ac:dyDescent="0.3">
      <c r="B31" s="70" t="s">
        <v>48</v>
      </c>
      <c r="C31" s="71" t="s">
        <v>54</v>
      </c>
      <c r="D31" s="75"/>
    </row>
    <row r="32" spans="1:12" ht="15.75" customHeight="1" x14ac:dyDescent="0.3">
      <c r="B32" s="70" t="s">
        <v>49</v>
      </c>
      <c r="C32" s="71" t="s">
        <v>55</v>
      </c>
      <c r="D32" s="75"/>
    </row>
    <row r="33" spans="2:4" ht="15.75" customHeight="1" x14ac:dyDescent="0.3">
      <c r="B33" s="70" t="s">
        <v>50</v>
      </c>
      <c r="C33" s="71" t="s">
        <v>56</v>
      </c>
      <c r="D33" s="75"/>
    </row>
    <row r="34" spans="2:4" ht="15.75" customHeight="1" x14ac:dyDescent="0.3">
      <c r="B34" s="70" t="s">
        <v>51</v>
      </c>
      <c r="C34" s="76" t="s">
        <v>57</v>
      </c>
      <c r="D34" s="75"/>
    </row>
    <row r="35" spans="2:4" ht="15.75" customHeight="1" x14ac:dyDescent="0.3">
      <c r="B35" s="73"/>
      <c r="C35" s="73"/>
    </row>
    <row r="36" spans="2:4" ht="15.75" customHeight="1" x14ac:dyDescent="0.3">
      <c r="B36" s="63"/>
      <c r="C36" s="74" t="s">
        <v>61</v>
      </c>
    </row>
    <row r="37" spans="2:4" ht="15.75" customHeight="1" x14ac:dyDescent="0.3">
      <c r="B37" s="67" t="s">
        <v>45</v>
      </c>
      <c r="C37" s="77" t="s">
        <v>46</v>
      </c>
    </row>
    <row r="38" spans="2:4" ht="15.75" customHeight="1" x14ac:dyDescent="0.3">
      <c r="B38" s="70" t="s">
        <v>47</v>
      </c>
      <c r="C38" s="78" t="s">
        <v>53</v>
      </c>
    </row>
    <row r="39" spans="2:4" ht="15.75" customHeight="1" x14ac:dyDescent="0.3">
      <c r="B39" s="70" t="s">
        <v>48</v>
      </c>
      <c r="C39" s="78" t="s">
        <v>54</v>
      </c>
    </row>
    <row r="40" spans="2:4" ht="15.75" customHeight="1" x14ac:dyDescent="0.3">
      <c r="B40" s="70" t="s">
        <v>49</v>
      </c>
      <c r="C40" s="78" t="s">
        <v>55</v>
      </c>
    </row>
    <row r="41" spans="2:4" ht="15.75" customHeight="1" x14ac:dyDescent="0.3">
      <c r="B41" s="70" t="s">
        <v>50</v>
      </c>
      <c r="C41" s="78" t="s">
        <v>56</v>
      </c>
    </row>
    <row r="42" spans="2:4" ht="15.75" customHeight="1" x14ac:dyDescent="0.3">
      <c r="B42" s="70" t="s">
        <v>51</v>
      </c>
      <c r="C42" s="79" t="s">
        <v>64</v>
      </c>
    </row>
    <row r="43" spans="2:4" ht="15.75" customHeight="1" x14ac:dyDescent="0.3">
      <c r="B43" s="70" t="s">
        <v>52</v>
      </c>
      <c r="C43" s="78" t="s">
        <v>58</v>
      </c>
    </row>
    <row r="44" spans="2:4" ht="15.75" customHeight="1" x14ac:dyDescent="0.3"/>
    <row r="45" spans="2:4" ht="15.75" customHeight="1" x14ac:dyDescent="0.3"/>
    <row r="46" spans="2:4" ht="15.75" customHeight="1" x14ac:dyDescent="0.3"/>
    <row r="47" spans="2:4" ht="15.75" customHeight="1" x14ac:dyDescent="0.3"/>
    <row r="48" spans="2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:A3"/>
    <mergeCell ref="B2:B3"/>
    <mergeCell ref="C2:C3"/>
  </mergeCells>
  <hyperlinks>
    <hyperlink ref="C34" r:id="rId1" xr:uid="{27B28F6E-2376-434F-8376-8A48DCCDDD5C}"/>
    <hyperlink ref="C42" r:id="rId2" xr:uid="{D0722319-01B5-424D-A918-9D86EC9BAC1B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marus</dc:creator>
  <cp:lastModifiedBy>marus</cp:lastModifiedBy>
  <dcterms:created xsi:type="dcterms:W3CDTF">2006-09-28T05:33:49Z</dcterms:created>
  <dcterms:modified xsi:type="dcterms:W3CDTF">2025-03-21T12:22:57Z</dcterms:modified>
</cp:coreProperties>
</file>